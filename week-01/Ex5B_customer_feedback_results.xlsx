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vieahmed\DataAnalytics\week-01\"/>
    </mc:Choice>
  </mc:AlternateContent>
  <xr:revisionPtr revIDLastSave="0" documentId="13_ncr:1_{57E205B9-C569-439F-BB29-C53A374F61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L6" i="1"/>
  <c r="J6" i="1"/>
  <c r="I6" i="1"/>
  <c r="D3" i="1"/>
  <c r="D4" i="1"/>
  <c r="D5" i="1"/>
  <c r="D2" i="1"/>
  <c r="D6" i="1" s="1"/>
</calcChain>
</file>

<file path=xl/sharedStrings.xml><?xml version="1.0" encoding="utf-8"?>
<sst xmlns="http://schemas.openxmlformats.org/spreadsheetml/2006/main" count="48" uniqueCount="40">
  <si>
    <t>ID</t>
  </si>
  <si>
    <t>Start time</t>
  </si>
  <si>
    <t>Completion time</t>
  </si>
  <si>
    <t>Email</t>
  </si>
  <si>
    <t>Name</t>
  </si>
  <si>
    <t>Last modified time</t>
  </si>
  <si>
    <t>On average, how often do you visit our restaurant</t>
  </si>
  <si>
    <t>How would you rate your most recent experience?</t>
  </si>
  <si>
    <t>How satisfied were you with our customer service?</t>
  </si>
  <si>
    <t>What is your favorite item on our menu?</t>
  </si>
  <si>
    <t>Would you be interested in a loyalty program?</t>
  </si>
  <si>
    <t>What rewards interest you most? (Select up to two)</t>
  </si>
  <si>
    <t>Do you have any additional comments or feedback for us?</t>
  </si>
  <si>
    <t>ilee@my.yearupunited.org</t>
  </si>
  <si>
    <t>idasha lee</t>
  </si>
  <si>
    <t>Multiple times a week</t>
  </si>
  <si>
    <t>McNuggets, Large Fry with 3 cookies and 2 Oreo milkshakes and an apple pie</t>
  </si>
  <si>
    <t>Yes</t>
  </si>
  <si>
    <t>Free food or drinks;Birthday rewards;</t>
  </si>
  <si>
    <t>Last time I came there was a piece of hair in my bbq sauce and the server was kind enough to replace it. When I got my fries they were cold and soggy. Yet I am faithful I'll see you again next week.</t>
  </si>
  <si>
    <t>amrapshtija@my.yearupunited.org</t>
  </si>
  <si>
    <t>ardita mrapshtija</t>
  </si>
  <si>
    <t>Every few months</t>
  </si>
  <si>
    <t xml:space="preserve">French fries </t>
  </si>
  <si>
    <t>Discount on future purchases;</t>
  </si>
  <si>
    <t>cspringer@my.yearupunited.org</t>
  </si>
  <si>
    <t>christopher springer</t>
  </si>
  <si>
    <t>Once a month</t>
  </si>
  <si>
    <t>Big Mac Meal (Large)</t>
  </si>
  <si>
    <t>Points earned with every purchase;Free food or drinks;</t>
  </si>
  <si>
    <t>More non-pork options for breakfast</t>
  </si>
  <si>
    <t>dmendez1@my.yearupunited.org</t>
  </si>
  <si>
    <t>denae mendez</t>
  </si>
  <si>
    <t>The fries and the mcflurry</t>
  </si>
  <si>
    <t>Free food or drinks;Discount on future purchases;</t>
  </si>
  <si>
    <t>Time to complete</t>
  </si>
  <si>
    <t>Row Labels</t>
  </si>
  <si>
    <t>Average Rating</t>
  </si>
  <si>
    <t>Customer Service Rating</t>
  </si>
  <si>
    <t>Recent Experience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</si>
</sst>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70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70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28" formatCode="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170" formatCode="mm/dd/yyyy\ hh:mm:ss"/>
    </dxf>
    <dxf>
      <numFmt numFmtId="170" formatCode="mm/dd/yyyy\ hh:mm:ss"/>
    </dxf>
    <dxf>
      <numFmt numFmtId="170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[McDonald's Customer Feedback Survey(1-4).xlsx]Sheet2!PivotTable1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Customer Service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ardita mrapshtija</c:v>
                </c:pt>
                <c:pt idx="1">
                  <c:v>christopher springer</c:v>
                </c:pt>
                <c:pt idx="2">
                  <c:v>denae mendez</c:v>
                </c:pt>
                <c:pt idx="3">
                  <c:v>idasha lee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F-401D-8FAB-CA2141FFA02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Recent Experience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ardita mrapshtija</c:v>
                </c:pt>
                <c:pt idx="1">
                  <c:v>christopher springer</c:v>
                </c:pt>
                <c:pt idx="2">
                  <c:v>denae mendez</c:v>
                </c:pt>
                <c:pt idx="3">
                  <c:v>idasha lee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AF-401D-8FAB-CA2141FFA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4976864"/>
        <c:axId val="1715005184"/>
      </c:barChart>
      <c:catAx>
        <c:axId val="171497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05184"/>
        <c:crosses val="autoZero"/>
        <c:auto val="1"/>
        <c:lblAlgn val="ctr"/>
        <c:lblOffset val="100"/>
        <c:noMultiLvlLbl val="0"/>
      </c:catAx>
      <c:valAx>
        <c:axId val="17150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97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161925</xdr:rowOff>
    </xdr:from>
    <xdr:to>
      <xdr:col>3</xdr:col>
      <xdr:colOff>1676400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2722D-B1E0-6CEC-FD47-133612822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ie ahmed" refreshedDate="46315.339447569444" createdVersion="8" refreshedVersion="8" minRefreshableVersion="3" recordCount="4" xr:uid="{F2BB10F4-4AD0-40BD-84DC-9B9C207EC52D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Start time" numFmtId="170">
      <sharedItems containsSemiMixedTypes="0" containsNonDate="0" containsDate="1" containsString="0" minDate="2026-10-15T13:28:54" maxDate="2026-10-16T16:48:36"/>
    </cacheField>
    <cacheField name="Completion time" numFmtId="170">
      <sharedItems containsSemiMixedTypes="0" containsNonDate="0" containsDate="1" containsString="0" minDate="2026-10-15T13:31:57" maxDate="2026-10-16T16:50:30"/>
    </cacheField>
    <cacheField name="Time to complete" numFmtId="45">
      <sharedItems containsSemiMixedTypes="0" containsNonDate="0" containsDate="1" containsString="0" minDate="1899-12-30T00:00:38" maxDate="1899-12-30T00:03:03"/>
    </cacheField>
    <cacheField name="Email" numFmtId="0">
      <sharedItems/>
    </cacheField>
    <cacheField name="Name" numFmtId="0">
      <sharedItems count="4">
        <s v="idasha lee"/>
        <s v="ardita mrapshtija"/>
        <s v="christopher springer"/>
        <s v="denae mendez"/>
      </sharedItems>
    </cacheField>
    <cacheField name="Last modified time" numFmtId="164">
      <sharedItems containsNonDate="0" containsString="0" containsBlank="1"/>
    </cacheField>
    <cacheField name="On average, how often do you visit our restaurant" numFmtId="0">
      <sharedItems/>
    </cacheField>
    <cacheField name="How would you rate your most recent experience?" numFmtId="0">
      <sharedItems containsSemiMixedTypes="0" containsString="0" containsNumber="1" containsInteger="1" minValue="2" maxValue="5"/>
    </cacheField>
    <cacheField name="How satisfied were you with our customer service?" numFmtId="0">
      <sharedItems containsSemiMixedTypes="0" containsString="0" containsNumber="1" containsInteger="1" minValue="1" maxValue="5" count="4">
        <n v="1"/>
        <n v="2"/>
        <n v="5"/>
        <n v="4"/>
      </sharedItems>
    </cacheField>
    <cacheField name="What is your favorite item on our menu?" numFmtId="0">
      <sharedItems/>
    </cacheField>
    <cacheField name="Would you be interested in a loyalty program?" numFmtId="0">
      <sharedItems/>
    </cacheField>
    <cacheField name="What rewards interest you most? (Select up to two)" numFmtId="0">
      <sharedItems count="4">
        <s v="Free food or drinks;Birthday rewards;"/>
        <s v="Discount on future purchases;"/>
        <s v="Points earned with every purchase;Free food or drinks;"/>
        <s v="Free food or drinks;Discount on future purchases;"/>
      </sharedItems>
    </cacheField>
    <cacheField name="Do you have any additional comments or feedback for us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d v="2026-10-15T13:28:54"/>
    <d v="2026-10-15T13:31:57"/>
    <d v="1899-12-30T00:03:03"/>
    <s v="ilee@my.yearupunited.org"/>
    <x v="0"/>
    <m/>
    <s v="Multiple times a week"/>
    <n v="2"/>
    <x v="0"/>
    <s v="McNuggets, Large Fry with 3 cookies and 2 Oreo milkshakes and an apple pie"/>
    <s v="Yes"/>
    <x v="0"/>
    <s v="Last time I came there was a piece of hair in my bbq sauce and the server was kind enough to replace it. When I got my fries they were cold and soggy. Yet I am faithful I'll see you again next week."/>
  </r>
  <r>
    <x v="1"/>
    <d v="2026-10-15T14:39:48"/>
    <d v="2026-10-15T14:40:26"/>
    <d v="1899-12-30T00:00:38"/>
    <s v="amrapshtija@my.yearupunited.org"/>
    <x v="1"/>
    <m/>
    <s v="Every few months"/>
    <n v="3"/>
    <x v="1"/>
    <s v="French fries "/>
    <s v="Yes"/>
    <x v="1"/>
    <m/>
  </r>
  <r>
    <x v="2"/>
    <d v="2026-10-16T13:37:16"/>
    <d v="2026-10-16T13:38:23"/>
    <d v="1899-12-30T00:01:07"/>
    <s v="cspringer@my.yearupunited.org"/>
    <x v="2"/>
    <m/>
    <s v="Once a month"/>
    <n v="5"/>
    <x v="2"/>
    <s v="Big Mac Meal (Large)"/>
    <s v="Yes"/>
    <x v="2"/>
    <s v="More non-pork options for breakfast"/>
  </r>
  <r>
    <x v="3"/>
    <d v="2026-10-16T16:48:36"/>
    <d v="2026-10-16T16:50:30"/>
    <d v="1899-12-30T00:01:54"/>
    <s v="dmendez1@my.yearupunited.org"/>
    <x v="3"/>
    <m/>
    <s v="Multiple times a week"/>
    <n v="3"/>
    <x v="3"/>
    <s v="The fries and the mcflurry"/>
    <s v="Yes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EB133-7AA6-4585-8449-413BA1E8EADE}" name="PivotTable1" cacheId="22" applyNumberFormats="0" applyBorderFormats="0" applyFontFormats="0" applyPatternFormats="0" applyAlignmentFormats="0" applyWidthHeightFormats="1" dataCaption="Values" grandTotalCaption="Average Rating" updatedVersion="8" minRefreshableVersion="3" useAutoFormatting="1" itemPrintTitles="1" createdVersion="8" indent="0" outline="1" outlineData="1" multipleFieldFilters="0" chartFormat="10">
  <location ref="A3:C8" firstHeaderRow="0" firstDataRow="1" firstDataCol="1"/>
  <pivotFields count="14">
    <pivotField showAll="0">
      <items count="5">
        <item x="0"/>
        <item x="1"/>
        <item x="2"/>
        <item x="3"/>
        <item t="default"/>
      </items>
    </pivotField>
    <pivotField numFmtId="170" showAll="0"/>
    <pivotField numFmtId="170" showAll="0"/>
    <pivotField numFmtId="45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 Service Rating" fld="9" subtotal="average" baseField="5" baseItem="0"/>
    <dataField name="Recent Experience Rating" fld="8" subtotal="average" baseField="5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6" totalsRowCount="1">
  <autoFilter ref="A1:N5" xr:uid="{00000000-0009-0000-0100-000001000000}"/>
  <tableColumns count="14">
    <tableColumn id="1" xr3:uid="{00000000-0010-0000-0000-000001000000}" name="ID" dataDxfId="17" totalsRowDxfId="13"/>
    <tableColumn id="2" xr3:uid="{00000000-0010-0000-0000-000002000000}" name="Start time" dataDxfId="16" totalsRowDxfId="12"/>
    <tableColumn id="3" xr3:uid="{00000000-0010-0000-0000-000003000000}" name="Completion time" dataDxfId="15" totalsRowDxfId="11"/>
    <tableColumn id="14" xr3:uid="{ABCD849F-C643-4E7E-B78A-09CA49571C67}" name="Time to complete" totalsRowFunction="custom" dataDxfId="14" totalsRowDxfId="0">
      <calculatedColumnFormula>C2-B2</calculatedColumnFormula>
      <totalsRowFormula>AVERAGE(D2:D5)</totalsRowFormula>
    </tableColumn>
    <tableColumn id="4" xr3:uid="{00000000-0010-0000-0000-000004000000}" name="Email" dataDxfId="27" totalsRowDxfId="10"/>
    <tableColumn id="5" xr3:uid="{00000000-0010-0000-0000-000005000000}" name="Name" dataDxfId="26" totalsRowDxfId="9"/>
    <tableColumn id="6" xr3:uid="{00000000-0010-0000-0000-000006000000}" name="Last modified time" dataDxfId="25" totalsRowDxfId="8"/>
    <tableColumn id="7" xr3:uid="{00000000-0010-0000-0000-000007000000}" name="On average, how often do you visit our restaurant" totalsRowFunction="custom" dataDxfId="24" totalsRowDxfId="7">
      <totalsRowFormula>SUM(COUNTIF(H2:H5, "Multiple times a week"),COUNTIF(H2:H5, "Once a month"))</totalsRowFormula>
    </tableColumn>
    <tableColumn id="8" xr3:uid="{00000000-0010-0000-0000-000008000000}" name="How would you rate your most recent experience?" totalsRowFunction="custom" dataDxfId="23" totalsRowDxfId="6">
      <totalsRowFormula>AVERAGE(I2:I5)</totalsRowFormula>
    </tableColumn>
    <tableColumn id="9" xr3:uid="{00000000-0010-0000-0000-000009000000}" name="How satisfied were you with our customer service?" totalsRowFunction="custom" dataDxfId="22" totalsRowDxfId="5">
      <totalsRowFormula>AVERAGE(J2:J5)</totalsRowFormula>
    </tableColumn>
    <tableColumn id="10" xr3:uid="{00000000-0010-0000-0000-00000A000000}" name="What is your favorite item on our menu?" dataDxfId="21" totalsRowDxfId="4"/>
    <tableColumn id="11" xr3:uid="{00000000-0010-0000-0000-00000B000000}" name="Would you be interested in a loyalty program?" totalsRowFunction="custom" dataDxfId="20" totalsRowDxfId="3">
      <totalsRowFormula>COUNTIF(L2:L5, "Yes")</totalsRowFormula>
    </tableColumn>
    <tableColumn id="12" xr3:uid="{00000000-0010-0000-0000-00000C000000}" name="What rewards interest you most? (Select up to two)" dataDxfId="19" totalsRowDxfId="2"/>
    <tableColumn id="13" xr3:uid="{00000000-0010-0000-0000-00000D000000}" name="Do you have any additional comments or feedback for us?" dataDxfId="1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E6EE-9FB3-449B-8138-ACFFF4D6A680}">
  <dimension ref="A3:C8"/>
  <sheetViews>
    <sheetView tabSelected="1" workbookViewId="0">
      <selection activeCell="D13" sqref="D13"/>
    </sheetView>
  </sheetViews>
  <sheetFormatPr defaultRowHeight="14.5" x14ac:dyDescent="0.35"/>
  <cols>
    <col min="1" max="1" width="18.26953125" bestFit="1" customWidth="1"/>
    <col min="2" max="2" width="21.81640625" bestFit="1" customWidth="1"/>
    <col min="3" max="3" width="22.7265625" bestFit="1" customWidth="1"/>
    <col min="4" max="4" width="53.54296875" bestFit="1" customWidth="1"/>
  </cols>
  <sheetData>
    <row r="3" spans="1:3" x14ac:dyDescent="0.35">
      <c r="A3" s="5" t="s">
        <v>36</v>
      </c>
      <c r="B3" t="s">
        <v>38</v>
      </c>
      <c r="C3" t="s">
        <v>39</v>
      </c>
    </row>
    <row r="4" spans="1:3" x14ac:dyDescent="0.35">
      <c r="A4" s="6" t="s">
        <v>21</v>
      </c>
      <c r="B4" s="2">
        <v>2</v>
      </c>
      <c r="C4" s="2">
        <v>3</v>
      </c>
    </row>
    <row r="5" spans="1:3" x14ac:dyDescent="0.35">
      <c r="A5" s="6" t="s">
        <v>26</v>
      </c>
      <c r="B5" s="2">
        <v>5</v>
      </c>
      <c r="C5" s="2">
        <v>5</v>
      </c>
    </row>
    <row r="6" spans="1:3" x14ac:dyDescent="0.35">
      <c r="A6" s="6" t="s">
        <v>32</v>
      </c>
      <c r="B6" s="2">
        <v>4</v>
      </c>
      <c r="C6" s="2">
        <v>3</v>
      </c>
    </row>
    <row r="7" spans="1:3" x14ac:dyDescent="0.35">
      <c r="A7" s="6" t="s">
        <v>14</v>
      </c>
      <c r="B7" s="2">
        <v>1</v>
      </c>
      <c r="C7" s="2">
        <v>2</v>
      </c>
    </row>
    <row r="8" spans="1:3" x14ac:dyDescent="0.35">
      <c r="A8" s="6" t="s">
        <v>37</v>
      </c>
      <c r="B8" s="2">
        <v>3</v>
      </c>
      <c r="C8" s="2">
        <v>3.25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E1" workbookViewId="0">
      <selection activeCell="M5" sqref="M5"/>
    </sheetView>
  </sheetViews>
  <sheetFormatPr defaultRowHeight="14.5" x14ac:dyDescent="0.35"/>
  <cols>
    <col min="1" max="1" width="20" bestFit="1" customWidth="1"/>
    <col min="2" max="2" width="20" style="3" bestFit="1" customWidth="1"/>
    <col min="3" max="3" width="20" bestFit="1" customWidth="1"/>
    <col min="4" max="4" width="17.54296875" customWidth="1"/>
    <col min="5" max="9" width="20" bestFit="1" customWidth="1"/>
    <col min="10" max="10" width="22.54296875" customWidth="1"/>
    <col min="11" max="14" width="20" bestFit="1" customWidth="1"/>
  </cols>
  <sheetData>
    <row r="1" spans="1:14" x14ac:dyDescent="0.35">
      <c r="A1" t="s">
        <v>0</v>
      </c>
      <c r="B1" s="3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 s="3">
        <v>46310.561736111114</v>
      </c>
      <c r="C2" s="3">
        <v>46310.563854166663</v>
      </c>
      <c r="D2" s="4">
        <f t="shared" ref="D2:D5" si="0">C2-B2</f>
        <v>2.1180555486353114E-3</v>
      </c>
      <c r="E2" t="s">
        <v>13</v>
      </c>
      <c r="F2" t="s">
        <v>14</v>
      </c>
      <c r="G2" s="1"/>
      <c r="H2" t="s">
        <v>15</v>
      </c>
      <c r="I2">
        <v>2</v>
      </c>
      <c r="J2">
        <v>1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35">
      <c r="A3">
        <v>2</v>
      </c>
      <c r="B3" s="3">
        <v>46310.610972222225</v>
      </c>
      <c r="C3" s="3">
        <v>46310.61141203704</v>
      </c>
      <c r="D3" s="4">
        <f t="shared" si="0"/>
        <v>4.398148157633841E-4</v>
      </c>
      <c r="E3" t="s">
        <v>20</v>
      </c>
      <c r="F3" t="s">
        <v>21</v>
      </c>
      <c r="G3" s="1"/>
      <c r="H3" t="s">
        <v>22</v>
      </c>
      <c r="I3">
        <v>3</v>
      </c>
      <c r="J3">
        <v>2</v>
      </c>
      <c r="K3" t="s">
        <v>23</v>
      </c>
      <c r="L3" t="s">
        <v>17</v>
      </c>
      <c r="M3" t="s">
        <v>24</v>
      </c>
    </row>
    <row r="4" spans="1:14" x14ac:dyDescent="0.35">
      <c r="A4">
        <v>3</v>
      </c>
      <c r="B4" s="3">
        <v>46311.567546296297</v>
      </c>
      <c r="C4" s="3">
        <v>46311.56832175926</v>
      </c>
      <c r="D4" s="4">
        <f t="shared" si="0"/>
        <v>7.7546296233776957E-4</v>
      </c>
      <c r="E4" t="s">
        <v>25</v>
      </c>
      <c r="F4" t="s">
        <v>26</v>
      </c>
      <c r="G4" s="1"/>
      <c r="H4" t="s">
        <v>27</v>
      </c>
      <c r="I4">
        <v>5</v>
      </c>
      <c r="J4">
        <v>5</v>
      </c>
      <c r="K4" t="s">
        <v>28</v>
      </c>
      <c r="L4" t="s">
        <v>17</v>
      </c>
      <c r="M4" t="s">
        <v>29</v>
      </c>
      <c r="N4" t="s">
        <v>30</v>
      </c>
    </row>
    <row r="5" spans="1:14" x14ac:dyDescent="0.35">
      <c r="A5">
        <v>4</v>
      </c>
      <c r="B5" s="3">
        <v>46311.700416666667</v>
      </c>
      <c r="C5" s="3">
        <v>46311.701736111114</v>
      </c>
      <c r="D5" s="4">
        <f t="shared" si="0"/>
        <v>1.3194444472901523E-3</v>
      </c>
      <c r="E5" t="s">
        <v>31</v>
      </c>
      <c r="F5" t="s">
        <v>32</v>
      </c>
      <c r="G5" s="1"/>
      <c r="H5" t="s">
        <v>15</v>
      </c>
      <c r="I5">
        <v>3</v>
      </c>
      <c r="J5">
        <v>4</v>
      </c>
      <c r="K5" t="s">
        <v>33</v>
      </c>
      <c r="L5" t="s">
        <v>17</v>
      </c>
      <c r="M5" t="s">
        <v>34</v>
      </c>
    </row>
    <row r="6" spans="1:14" x14ac:dyDescent="0.35">
      <c r="A6" s="2"/>
      <c r="C6" s="3"/>
      <c r="D6" s="4">
        <f>AVERAGE(D2:D5)</f>
        <v>1.1631944435066544E-3</v>
      </c>
      <c r="E6" s="2"/>
      <c r="F6" s="2"/>
      <c r="G6" s="1"/>
      <c r="H6" s="2">
        <f>SUM(COUNTIF(H2:H5, "Multiple times a week"),COUNTIF(H2:H5, "Once a month"))</f>
        <v>3</v>
      </c>
      <c r="I6" s="2">
        <f>AVERAGE(I2:I5)</f>
        <v>3.25</v>
      </c>
      <c r="J6" s="2">
        <f>AVERAGE(J2:J5)</f>
        <v>3</v>
      </c>
      <c r="K6" s="2"/>
      <c r="L6" s="2">
        <f>COUNTIF(L2:L5, "Yes")</f>
        <v>4</v>
      </c>
      <c r="M6" s="2"/>
      <c r="N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alvie ahmed</cp:lastModifiedBy>
  <dcterms:created xsi:type="dcterms:W3CDTF">2026-10-20T11:39:06Z</dcterms:created>
  <dcterms:modified xsi:type="dcterms:W3CDTF">2026-10-20T12:16:57Z</dcterms:modified>
</cp:coreProperties>
</file>