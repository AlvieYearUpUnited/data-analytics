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defaultThemeVersion="202300"/>
  <mc:AlternateContent xmlns:mc="http://schemas.openxmlformats.org/markup-compatibility/2006">
    <mc:Choice Requires="x15">
      <x15ac:absPath xmlns:x15ac="http://schemas.microsoft.com/office/spreadsheetml/2010/11/ac" url="/Users/alvieahmed/Documents/"/>
    </mc:Choice>
  </mc:AlternateContent>
  <xr:revisionPtr revIDLastSave="0" documentId="13_ncr:1_{D05F4E99-0801-4249-969C-6143CE53B0F3}" xr6:coauthVersionLast="47" xr6:coauthVersionMax="47" xr10:uidLastSave="{00000000-0000-0000-0000-000000000000}"/>
  <bookViews>
    <workbookView xWindow="2680" yWindow="1640" windowWidth="28040" windowHeight="17180" xr2:uid="{89FE30DC-B9BE-A549-A134-84FC8B95D817}"/>
  </bookViews>
  <sheets>
    <sheet name="Sales_Data" sheetId="1" r:id="rId1"/>
    <sheet name="Store_Summar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8" i="1" l="1"/>
  <c r="E7" i="1"/>
  <c r="E5" i="1"/>
  <c r="E4" i="1"/>
  <c r="E3" i="1"/>
  <c r="E2" i="1"/>
  <c r="A3" i="1"/>
  <c r="A4" i="1"/>
  <c r="A5" i="1"/>
  <c r="A6" i="1"/>
  <c r="A7" i="1"/>
  <c r="A8" i="1"/>
  <c r="A9" i="1"/>
  <c r="A10" i="1"/>
  <c r="A11" i="1"/>
  <c r="A12" i="1"/>
  <c r="A13" i="1"/>
  <c r="A2" i="1"/>
</calcChain>
</file>

<file path=xl/sharedStrings.xml><?xml version="1.0" encoding="utf-8"?>
<sst xmlns="http://schemas.openxmlformats.org/spreadsheetml/2006/main" count="14" uniqueCount="14">
  <si>
    <t>Store</t>
  </si>
  <si>
    <t>Monthly Sales</t>
  </si>
  <si>
    <t>MEAN:</t>
  </si>
  <si>
    <t>MEDIAN:</t>
  </si>
  <si>
    <t>MODE:</t>
  </si>
  <si>
    <t>RANGE:</t>
  </si>
  <si>
    <t xml:space="preserve">Standard Deviation: </t>
  </si>
  <si>
    <t>Excluding H:</t>
  </si>
  <si>
    <t xml:space="preserve">The outlier was Store H, sitting at 72 sales. We were able to see this when comparing the standard deviation once with all stores included, and again without including Store H. </t>
  </si>
  <si>
    <t>Excluding Store H gave us  a standard deviation roughly 4.5 less than when included. This clearly indicates that Store H's value significantly influenced the results.</t>
  </si>
  <si>
    <t>Some additonal information I would want is store locations and stores profit. The location of a store can play a huge factor on why it has more sales.</t>
  </si>
  <si>
    <t>The overall average performance was around 49 sales per store. Store performances were generally tightly grouped with all but one store ranging between 43 and 51.</t>
  </si>
  <si>
    <t>Profits is another good indicator to show us whether the store is far ahead of the rest or if their costs are higher, netting them the same amount, regardless of their higher sale amount.</t>
  </si>
  <si>
    <t>STORE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</si>
</sst>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72D0C-738F-164F-957E-7A33D51444BF}">
  <dimension ref="A1:E13"/>
  <sheetViews>
    <sheetView tabSelected="1" workbookViewId="0">
      <selection activeCell="H2" sqref="H2"/>
    </sheetView>
  </sheetViews>
  <sheetFormatPr baseColWidth="10" defaultRowHeight="16" x14ac:dyDescent="0.2"/>
  <cols>
    <col min="2" max="2" width="12.5" customWidth="1"/>
    <col min="4" max="4" width="17.1640625" customWidth="1"/>
  </cols>
  <sheetData>
    <row r="1" spans="1:5" x14ac:dyDescent="0.2">
      <c r="A1" s="1" t="s">
        <v>0</v>
      </c>
      <c r="B1" s="1" t="s">
        <v>1</v>
      </c>
    </row>
    <row r="2" spans="1:5" x14ac:dyDescent="0.2">
      <c r="A2" t="str">
        <f>"Store " &amp; CHAR(63 + ROW())</f>
        <v>Store A</v>
      </c>
      <c r="B2">
        <v>51</v>
      </c>
      <c r="D2" s="1" t="s">
        <v>2</v>
      </c>
      <c r="E2">
        <f>AVERAGE(B2:B13)</f>
        <v>49.416666666666664</v>
      </c>
    </row>
    <row r="3" spans="1:5" x14ac:dyDescent="0.2">
      <c r="A3" t="str">
        <f t="shared" ref="A3:A13" si="0">"Store " &amp; CHAR(63 + ROW())</f>
        <v>Store B</v>
      </c>
      <c r="B3">
        <v>44</v>
      </c>
      <c r="D3" s="1" t="s">
        <v>3</v>
      </c>
      <c r="E3">
        <f>MEDIAN(B2:B13)</f>
        <v>47.5</v>
      </c>
    </row>
    <row r="4" spans="1:5" x14ac:dyDescent="0.2">
      <c r="A4" t="str">
        <f t="shared" si="0"/>
        <v>Store C</v>
      </c>
      <c r="B4">
        <v>49</v>
      </c>
      <c r="D4" s="1" t="s">
        <v>4</v>
      </c>
      <c r="E4">
        <f>MODE(B2:B13)</f>
        <v>46</v>
      </c>
    </row>
    <row r="5" spans="1:5" x14ac:dyDescent="0.2">
      <c r="A5" t="str">
        <f t="shared" si="0"/>
        <v>Store D</v>
      </c>
      <c r="B5">
        <v>46</v>
      </c>
      <c r="D5" s="1" t="s">
        <v>5</v>
      </c>
      <c r="E5">
        <f>MAX(B2:B13) - MIN(B2:B13)</f>
        <v>29</v>
      </c>
    </row>
    <row r="6" spans="1:5" x14ac:dyDescent="0.2">
      <c r="A6" t="str">
        <f t="shared" si="0"/>
        <v>Store E</v>
      </c>
      <c r="B6">
        <v>52</v>
      </c>
    </row>
    <row r="7" spans="1:5" x14ac:dyDescent="0.2">
      <c r="A7" t="str">
        <f t="shared" si="0"/>
        <v>Store F</v>
      </c>
      <c r="B7">
        <v>47</v>
      </c>
      <c r="D7" s="1" t="s">
        <v>6</v>
      </c>
      <c r="E7">
        <f>_xlfn.STDEV.S(B2:B13)</f>
        <v>7.6331613054586773</v>
      </c>
    </row>
    <row r="8" spans="1:5" x14ac:dyDescent="0.2">
      <c r="A8" t="str">
        <f t="shared" si="0"/>
        <v>Store G</v>
      </c>
      <c r="B8">
        <v>45</v>
      </c>
      <c r="D8" s="1" t="s">
        <v>7</v>
      </c>
      <c r="E8">
        <f>_xlfn.STDEV.S(B2:B8, B10:B13)</f>
        <v>2.9076701075853588</v>
      </c>
    </row>
    <row r="9" spans="1:5" x14ac:dyDescent="0.2">
      <c r="A9" t="str">
        <f t="shared" si="0"/>
        <v>Store H</v>
      </c>
      <c r="B9">
        <v>72</v>
      </c>
    </row>
    <row r="10" spans="1:5" x14ac:dyDescent="0.2">
      <c r="A10" t="str">
        <f t="shared" si="0"/>
        <v>Store I</v>
      </c>
      <c r="B10">
        <v>43</v>
      </c>
    </row>
    <row r="11" spans="1:5" x14ac:dyDescent="0.2">
      <c r="A11" t="str">
        <f t="shared" si="0"/>
        <v>Store J</v>
      </c>
      <c r="B11">
        <v>48</v>
      </c>
    </row>
    <row r="12" spans="1:5" x14ac:dyDescent="0.2">
      <c r="A12" t="str">
        <f t="shared" si="0"/>
        <v>Store K</v>
      </c>
      <c r="B12">
        <v>46</v>
      </c>
    </row>
    <row r="13" spans="1:5" x14ac:dyDescent="0.2">
      <c r="A13" t="str">
        <f t="shared" si="0"/>
        <v>Store L</v>
      </c>
      <c r="B13">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E50ED-F342-F04A-9013-D16F531F34ED}">
  <dimension ref="A1:A7"/>
  <sheetViews>
    <sheetView workbookViewId="0">
      <selection activeCell="B16" sqref="B16"/>
    </sheetView>
  </sheetViews>
  <sheetFormatPr baseColWidth="10" defaultRowHeight="16" x14ac:dyDescent="0.2"/>
  <cols>
    <col min="1" max="1" width="144.1640625" customWidth="1"/>
  </cols>
  <sheetData>
    <row r="1" spans="1:1" x14ac:dyDescent="0.2">
      <c r="A1" s="1" t="s">
        <v>13</v>
      </c>
    </row>
    <row r="3" spans="1:1" x14ac:dyDescent="0.2">
      <c r="A3" t="s">
        <v>11</v>
      </c>
    </row>
    <row r="4" spans="1:1" x14ac:dyDescent="0.2">
      <c r="A4" t="s">
        <v>8</v>
      </c>
    </row>
    <row r="5" spans="1:1" x14ac:dyDescent="0.2">
      <c r="A5" t="s">
        <v>9</v>
      </c>
    </row>
    <row r="6" spans="1:1" x14ac:dyDescent="0.2">
      <c r="A6" t="s">
        <v>10</v>
      </c>
    </row>
    <row r="7" spans="1:1" x14ac:dyDescent="0.2">
      <c r="A7"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Sales_Data</vt:lpstr>
      <vt:lpstr>Store_Summary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alvie ahmed</dc:creator>
  <cp:lastModifiedBy>alvie ahmed</cp:lastModifiedBy>
  <dcterms:created xsi:type="dcterms:W3CDTF">2026-10-06T18:34:07Z</dcterms:created>
  <dcterms:modified xsi:type="dcterms:W3CDTF">2026-10-07T00:02:43Z</dcterms:modified>
</cp:coreProperties>
</file>